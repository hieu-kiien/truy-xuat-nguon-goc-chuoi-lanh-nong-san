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hacnhat/Desktop/ICTU Scrum/Tài nguyên khoá học/"/>
    </mc:Choice>
  </mc:AlternateContent>
  <xr:revisionPtr revIDLastSave="0" documentId="13_ncr:1_{CF3F6612-163A-7A4C-B7C7-967139FEE6A6}" xr6:coauthVersionLast="47" xr6:coauthVersionMax="47" xr10:uidLastSave="{00000000-0000-0000-0000-000000000000}"/>
  <bookViews>
    <workbookView xWindow="0" yWindow="660" windowWidth="30240" windowHeight="17400" tabRatio="500" xr2:uid="{00000000-000D-0000-FFFF-FFFF00000000}"/>
  </bookViews>
  <sheets>
    <sheet name="Kế hoạch dự án" sheetId="1" r:id="rId1"/>
    <sheet name="Release Plan &amp; Burndown" sheetId="2" r:id="rId2"/>
    <sheet name="Rủi ro" sheetId="3" r:id="rId3"/>
    <sheet name="Theo dõi tiến độ (tham khảo)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1" i="2"/>
  <c r="B10" i="2"/>
  <c r="C6" i="2"/>
  <c r="E73" i="1"/>
  <c r="G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0" authorId="0" shapeId="0" xr:uid="{00000000-0006-0000-0000-000001000000}">
      <text>
        <r>
          <rPr>
            <sz val="10"/>
            <color rgb="FF000000"/>
            <rFont val="Arial"/>
            <family val="2"/>
          </rPr>
          <t>Ví dụ: Ra mắt phiên bản đầu tiên của sản phẩm với các tính năng ưu tiên cao nhất, hoàn thành trong số Sprint dự kiến.</t>
        </r>
      </text>
    </comment>
    <comment ref="D12" authorId="0" shapeId="0" xr:uid="{00000000-0006-0000-0000-000002000000}">
      <text>
        <r>
          <rPr>
            <sz val="10"/>
            <rFont val="Arial"/>
            <family val="2"/>
          </rPr>
          <t>Ví dụ: 120 điểm · 6 người · 8 Sprint.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100-000001000000}">
      <text>
        <r>
          <rPr>
            <sz val="10"/>
            <rFont val="Arial"/>
            <family val="2"/>
          </rPr>
          <t>Cộng điểm của tất cả các story trên bảng Product Backlog (A0) của nhóm. Số đang điền là VÍ DỤ.</t>
        </r>
      </text>
    </comment>
    <comment ref="C5" authorId="0" shapeId="0" xr:uid="{00000000-0006-0000-0100-000002000000}">
      <text>
        <r>
          <rPr>
            <sz val="10"/>
            <rFont val="Arial"/>
            <family val="2"/>
          </rPr>
          <t>Nhóm mới chưa có dữ liệu — cứ giả định một con số hợp lý để lập kế hoạch, sau Sprint 1 sẽ hiệu chỉnh theo thực tế. Số đang điền là VÍ DỤ.</t>
        </r>
      </text>
    </comment>
  </commentList>
</comments>
</file>

<file path=xl/sharedStrings.xml><?xml version="1.0" encoding="utf-8"?>
<sst xmlns="http://schemas.openxmlformats.org/spreadsheetml/2006/main" count="111" uniqueCount="91">
  <si>
    <t>KẾ HOẠCH DỰ ÁN</t>
  </si>
  <si>
    <t>Ô màu vàng: nhóm điền (dữ liệu giả định nhưng nhất quán với sản phẩm &amp; Product Backlog của nhóm). Ô có công thức sẽ tự tính.</t>
  </si>
  <si>
    <t>1. Thông tin chung</t>
  </si>
  <si>
    <t>Tên dự án / sản phẩm</t>
  </si>
  <si>
    <t>Khách hàng (giả định)</t>
  </si>
  <si>
    <t>Ngày bắt đầu</t>
  </si>
  <si>
    <t>Ngày kết thúc</t>
  </si>
  <si>
    <t>Ngày lập</t>
  </si>
  <si>
    <t>Phiên bản</t>
  </si>
  <si>
    <t>Mục tiêu dự án</t>
  </si>
  <si>
    <t>Phạm vi dự án</t>
  </si>
  <si>
    <t>Quy mô dự án</t>
  </si>
  <si>
    <t>Người lập</t>
  </si>
  <si>
    <t>Người xem xét</t>
  </si>
  <si>
    <t>Người phê duyệt</t>
  </si>
  <si>
    <t>2. Tổ chức dự án</t>
  </si>
  <si>
    <t>2.1. Đội dự án</t>
  </si>
  <si>
    <t>STT</t>
  </si>
  <si>
    <t>Họ và tên</t>
  </si>
  <si>
    <t>Vị trí trong dự án</t>
  </si>
  <si>
    <t>Vai trò / trách nhiệm</t>
  </si>
  <si>
    <t>Ước lượng thời gian</t>
  </si>
  <si>
    <t>Product Owner</t>
  </si>
  <si>
    <t>ScrumMaster</t>
  </si>
  <si>
    <t>Developer</t>
  </si>
  <si>
    <t>2.2. Các bên liên quan cần phối hợp</t>
  </si>
  <si>
    <t>Bên liên quan</t>
  </si>
  <si>
    <t>Nội dung phối hợp</t>
  </si>
  <si>
    <t>Đầu mối</t>
  </si>
  <si>
    <t>3. Quản lý chất lượng dự án</t>
  </si>
  <si>
    <t>3.1. Mục tiêu chất lượng</t>
  </si>
  <si>
    <t>Mục tiêu</t>
  </si>
  <si>
    <t>Chỉ tiêu đánh giá</t>
  </si>
  <si>
    <t>Đơn vị tính</t>
  </si>
  <si>
    <t>Dự kiến</t>
  </si>
  <si>
    <t>3.2. Các hoạt động kiểm soát chất lượng</t>
  </si>
  <si>
    <t>Hoạt động</t>
  </si>
  <si>
    <t>Sản phẩm</t>
  </si>
  <si>
    <t>Người thực hiện</t>
  </si>
  <si>
    <t>Định kỳ</t>
  </si>
  <si>
    <t>4. Quản lý thực hiện dự án</t>
  </si>
  <si>
    <t>4.1. Các công việc / giai đoạn chính</t>
  </si>
  <si>
    <t>Công việc / giai đoạn</t>
  </si>
  <si>
    <t>Sản phẩm / kết quả</t>
  </si>
  <si>
    <t>Nguồn lực (manday)</t>
  </si>
  <si>
    <t>Bắt đầu</t>
  </si>
  <si>
    <t>Kết thúc</t>
  </si>
  <si>
    <t>Tổng</t>
  </si>
  <si>
    <t>4.2. Các sản phẩm bàn giao</t>
  </si>
  <si>
    <t>Ngày bàn giao</t>
  </si>
  <si>
    <t>Nơi bàn giao</t>
  </si>
  <si>
    <t>Ghi chú</t>
  </si>
  <si>
    <t>4.3. Các mốc kiểm soát chính</t>
  </si>
  <si>
    <t>Mốc kiểm soát</t>
  </si>
  <si>
    <t>Ngày</t>
  </si>
  <si>
    <t>Sản phẩm / kết quả cần đạt</t>
  </si>
  <si>
    <t>4.4. Trao đổi thông tin, báo cáo trong dự án</t>
  </si>
  <si>
    <t>Nội dung</t>
  </si>
  <si>
    <t>Cách thức / kênh</t>
  </si>
  <si>
    <t>Tần suất</t>
  </si>
  <si>
    <t>5. Ngân sách dự án</t>
  </si>
  <si>
    <t>Khoản mục</t>
  </si>
  <si>
    <t>Chi phí (triệu đồng)</t>
  </si>
  <si>
    <t>Nguồn</t>
  </si>
  <si>
    <t>RELEASE PLAN &amp; PRODUCT BURNDOWN</t>
  </si>
  <si>
    <t>Bước 1 — Nhập 2 con số của nhóm:</t>
  </si>
  <si>
    <t>Tổng điểm Product Backlog (từ bảng A0)</t>
  </si>
  <si>
    <t>Velocity giả định (điểm / Sprint)</t>
  </si>
  <si>
    <t>Số Sprint dự kiến để hoàn thành</t>
  </si>
  <si>
    <t>⚠ Số liệu đang điền trong các ô vàng là VÍ DỤ — nhóm thay bằng số của mình.</t>
  </si>
  <si>
    <t>Bước 2 — Bảng burndown: cột Kế hoạch tự tính; cột Thực tế nhóm điền:</t>
  </si>
  <si>
    <t>Sprint</t>
  </si>
  <si>
    <t>Điểm còn lại (Kế hoạch)</t>
  </si>
  <si>
    <t>Điểm còn lại (Thực tế — điền thử)</t>
  </si>
  <si>
    <t>Mẹo đọc biểu đồ: đường Thực tế tách xa đường Kế hoạch chính là lúc nhóm cần trao đổi và điều chỉnh.</t>
  </si>
  <si>
    <t>RỦI RO CÓ THỂ XẢY RA &amp; BIỆN PHÁP</t>
  </si>
  <si>
    <t>Gợi ý mức đánh giá: Thấp / Trung bình / Cao</t>
  </si>
  <si>
    <t>Rủi ro</t>
  </si>
  <si>
    <t>Khả năng xảy ra</t>
  </si>
  <si>
    <t>Mức độ thiệt hại</t>
  </si>
  <si>
    <t>Phương án khắc phục</t>
  </si>
  <si>
    <t>Biện pháp phòng ngừa</t>
  </si>
  <si>
    <t>KẾ HOẠCH CHI TIẾT &amp; THEO DÕI TIẾN ĐỘ</t>
  </si>
  <si>
    <t>Lưu ý: bảng này được lập trong giai đoạn triển khai dự án — trong khoá học, nhóm sẽ dùng Sprint Backlog trên bảng vật lý thay thế.</t>
  </si>
  <si>
    <t>Công việc</t>
  </si>
  <si>
    <t>Dự kiến bắt đầu</t>
  </si>
  <si>
    <t>Dự kiến kết thúc</t>
  </si>
  <si>
    <t>Thực tế bắt đầu</t>
  </si>
  <si>
    <t>Thực tế kết thúc</t>
  </si>
  <si>
    <t>Tình trạng</t>
  </si>
  <si>
    <t>Khoá tập huấn “Quy trình phát triển phần mềm thực chiến”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</si>
</sst>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232A80"/>
      <name val="Arial"/>
      <family val="2"/>
    </font>
    <font>
      <i/>
      <sz val="10"/>
      <color rgb="FF595959"/>
      <name val="Arial"/>
      <family val="2"/>
    </font>
    <font>
      <b/>
      <sz val="12"/>
      <color rgb="FFC43C10"/>
      <name val="Arial"/>
      <family val="2"/>
    </font>
    <font>
      <b/>
      <sz val="11"/>
      <color rgb="FF232A80"/>
      <name val="Arial"/>
      <family val="2"/>
    </font>
    <font>
      <sz val="11"/>
      <name val="Arial"/>
      <family val="2"/>
    </font>
    <font>
      <b/>
      <i/>
      <sz val="10"/>
      <color rgb="FFC43C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7CC"/>
        <bgColor rgb="FFFFFF99"/>
      </patternFill>
    </fill>
    <fill>
      <patternFill patternType="solid">
        <fgColor rgb="FFEDEFF7"/>
        <bgColor rgb="FFFFF7CC"/>
      </patternFill>
    </fill>
  </fills>
  <borders count="9">
    <border>
      <left/>
      <right/>
      <top/>
      <bottom/>
      <diagonal/>
    </border>
    <border>
      <left style="thin">
        <color rgb="FFB9C0E4"/>
      </left>
      <right style="thin">
        <color rgb="FFB9C0E4"/>
      </right>
      <top style="thin">
        <color rgb="FFB9C0E4"/>
      </top>
      <bottom style="thin">
        <color rgb="FFB9C0E4"/>
      </bottom>
      <diagonal/>
    </border>
    <border>
      <left style="thin">
        <color rgb="FFB9C0E4"/>
      </left>
      <right/>
      <top style="thin">
        <color rgb="FFB9C0E4"/>
      </top>
      <bottom style="thin">
        <color rgb="FFB9C0E4"/>
      </bottom>
      <diagonal/>
    </border>
    <border>
      <left/>
      <right style="thin">
        <color rgb="FFB9C0E4"/>
      </right>
      <top style="thin">
        <color rgb="FFB9C0E4"/>
      </top>
      <bottom style="thin">
        <color rgb="FFB9C0E4"/>
      </bottom>
      <diagonal/>
    </border>
    <border>
      <left style="thin">
        <color rgb="FFB9C0E4"/>
      </left>
      <right/>
      <top/>
      <bottom style="thin">
        <color rgb="FFB9C0E4"/>
      </bottom>
      <diagonal/>
    </border>
    <border>
      <left/>
      <right style="thin">
        <color rgb="FFB9C0E4"/>
      </right>
      <top/>
      <bottom style="thin">
        <color rgb="FFB9C0E4"/>
      </bottom>
      <diagonal/>
    </border>
    <border>
      <left style="thin">
        <color rgb="FFB9C0E4"/>
      </left>
      <right/>
      <top style="thin">
        <color rgb="FFB9C0E4"/>
      </top>
      <bottom/>
      <diagonal/>
    </border>
    <border>
      <left/>
      <right style="thin">
        <color rgb="FFB9C0E4"/>
      </right>
      <top style="thin">
        <color rgb="FFB9C0E4"/>
      </top>
      <bottom/>
      <diagonal/>
    </border>
    <border>
      <left/>
      <right/>
      <top style="thin">
        <color rgb="FFB9C0E4"/>
      </top>
      <bottom style="thin">
        <color rgb="FFB9C0E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F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E4"/>
      <rgbColor rgb="FF878787"/>
      <rgbColor rgb="FF9999FF"/>
      <rgbColor rgb="FFBE4B48"/>
      <rgbColor rgb="FFFFF7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43C10"/>
      <rgbColor rgb="FF993366"/>
      <rgbColor rgb="FF232A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Product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'Release Plan &amp; Burndown'!$B$9</c:f>
              <c:strCache>
                <c:ptCount val="1"/>
                <c:pt idx="0">
                  <c:v>Điểm còn lại (Kế hoạch)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'Release Plan &amp; Burndown'!$A$10:$A$20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'Release Plan &amp; Burndown'!$B$10:$B$20</c:f>
              <c:numCache>
                <c:formatCode>General</c:formatCode>
                <c:ptCount val="11"/>
                <c:pt idx="0">
                  <c:v>120</c:v>
                </c:pt>
                <c:pt idx="1">
                  <c:v>105</c:v>
                </c:pt>
                <c:pt idx="2">
                  <c:v>90</c:v>
                </c:pt>
                <c:pt idx="3">
                  <c:v>75</c:v>
                </c:pt>
                <c:pt idx="4">
                  <c:v>60</c:v>
                </c:pt>
                <c:pt idx="5">
                  <c:v>45</c:v>
                </c:pt>
                <c:pt idx="6">
                  <c:v>30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97-FE42-9D3A-FC3EAC78B117}"/>
            </c:ext>
          </c:extLst>
        </c:ser>
        <c:ser>
          <c:idx val="1"/>
          <c:order val="1"/>
          <c:tx>
            <c:strRef>
              <c:f>'Release Plan &amp; Burndown'!$C$9</c:f>
              <c:strCache>
                <c:ptCount val="1"/>
                <c:pt idx="0">
                  <c:v>Điểm còn lại (Thực tế — điền thử)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'Release Plan &amp; Burndown'!$A$10:$A$20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'Release Plan &amp; Burndown'!$C$10:$C$20</c:f>
              <c:numCache>
                <c:formatCode>General</c:formatCode>
                <c:ptCount val="11"/>
                <c:pt idx="0">
                  <c:v>120</c:v>
                </c:pt>
                <c:pt idx="1">
                  <c:v>108</c:v>
                </c:pt>
                <c:pt idx="2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97-FE42-9D3A-FC3EAC78B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342800"/>
        <c:axId val="68391822"/>
      </c:lineChart>
      <c:catAx>
        <c:axId val="403428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VN"/>
          </a:p>
        </c:txPr>
        <c:crossAx val="68391822"/>
        <c:crosses val="autoZero"/>
        <c:auto val="1"/>
        <c:lblAlgn val="ctr"/>
        <c:lblOffset val="100"/>
        <c:noMultiLvlLbl val="0"/>
      </c:catAx>
      <c:valAx>
        <c:axId val="68391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VN"/>
          </a:p>
        </c:txPr>
        <c:crossAx val="403428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185760</xdr:rowOff>
    </xdr:from>
    <xdr:to>
      <xdr:col>13</xdr:col>
      <xdr:colOff>600840</xdr:colOff>
      <xdr:row>25</xdr:row>
      <xdr:rowOff>15120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Normal="100" workbookViewId="0">
      <pane ySplit="3" topLeftCell="A4" activePane="bottomLeft" state="frozen"/>
      <selection pane="bottomLeft" activeCell="J24" sqref="J24"/>
    </sheetView>
  </sheetViews>
  <sheetFormatPr baseColWidth="10" defaultColWidth="8.6640625" defaultRowHeight="15" x14ac:dyDescent="0.2"/>
  <cols>
    <col min="1" max="1" width="5" customWidth="1"/>
    <col min="2" max="2" width="6" customWidth="1"/>
    <col min="3" max="3" width="24.5" customWidth="1"/>
    <col min="4" max="4" width="26.5" customWidth="1"/>
    <col min="5" max="5" width="26" customWidth="1"/>
    <col min="6" max="6" width="22" customWidth="1"/>
    <col min="7" max="8" width="16" customWidth="1"/>
    <col min="9" max="9" width="20" customWidth="1"/>
  </cols>
  <sheetData>
    <row r="1" spans="1:9" ht="18.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6" t="s">
        <v>90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">
      <c r="A3" s="5" t="s">
        <v>1</v>
      </c>
      <c r="B3" s="5"/>
      <c r="C3" s="5"/>
      <c r="D3" s="5"/>
      <c r="E3" s="5"/>
      <c r="F3" s="5"/>
      <c r="G3" s="5"/>
      <c r="H3" s="5"/>
      <c r="I3" s="5"/>
    </row>
    <row r="5" spans="1:9" ht="16" x14ac:dyDescent="0.2">
      <c r="A5" s="8" t="s">
        <v>2</v>
      </c>
    </row>
    <row r="6" spans="1:9" ht="23" customHeight="1" x14ac:dyDescent="0.2">
      <c r="B6" s="25" t="s">
        <v>3</v>
      </c>
      <c r="C6" s="26"/>
      <c r="D6" s="4"/>
      <c r="E6" s="4"/>
      <c r="F6" s="4"/>
      <c r="G6" s="4"/>
      <c r="H6" s="4"/>
      <c r="I6" s="4"/>
    </row>
    <row r="7" spans="1:9" ht="23" customHeight="1" x14ac:dyDescent="0.2">
      <c r="B7" s="25" t="s">
        <v>4</v>
      </c>
      <c r="C7" s="26"/>
      <c r="D7" s="4"/>
      <c r="E7" s="4"/>
      <c r="F7" s="4"/>
      <c r="G7" s="4"/>
      <c r="H7" s="4"/>
      <c r="I7" s="4"/>
    </row>
    <row r="8" spans="1:9" ht="23" customHeight="1" x14ac:dyDescent="0.2">
      <c r="B8" s="25" t="s">
        <v>5</v>
      </c>
      <c r="C8" s="26"/>
      <c r="D8" s="4"/>
      <c r="E8" s="4"/>
      <c r="F8" s="9" t="s">
        <v>6</v>
      </c>
      <c r="G8" s="4"/>
      <c r="H8" s="4"/>
      <c r="I8" s="4"/>
    </row>
    <row r="9" spans="1:9" ht="23" customHeight="1" x14ac:dyDescent="0.2">
      <c r="B9" s="25" t="s">
        <v>7</v>
      </c>
      <c r="C9" s="26"/>
      <c r="D9" s="4"/>
      <c r="E9" s="4"/>
      <c r="F9" s="9" t="s">
        <v>8</v>
      </c>
      <c r="G9" s="4"/>
      <c r="H9" s="4"/>
      <c r="I9" s="4"/>
    </row>
    <row r="10" spans="1:9" ht="23" customHeight="1" x14ac:dyDescent="0.2">
      <c r="B10" s="25" t="s">
        <v>9</v>
      </c>
      <c r="C10" s="26"/>
      <c r="D10" s="4"/>
      <c r="E10" s="4"/>
      <c r="F10" s="4"/>
      <c r="G10" s="4"/>
      <c r="H10" s="4"/>
      <c r="I10" s="4"/>
    </row>
    <row r="11" spans="1:9" ht="23" customHeight="1" x14ac:dyDescent="0.2">
      <c r="B11" s="25" t="s">
        <v>10</v>
      </c>
      <c r="C11" s="26"/>
      <c r="D11" s="4"/>
      <c r="E11" s="4"/>
      <c r="F11" s="4"/>
      <c r="G11" s="4"/>
      <c r="H11" s="4"/>
      <c r="I11" s="4"/>
    </row>
    <row r="12" spans="1:9" ht="23" customHeight="1" x14ac:dyDescent="0.2">
      <c r="B12" s="25" t="s">
        <v>11</v>
      </c>
      <c r="C12" s="26"/>
      <c r="D12" s="4"/>
      <c r="E12" s="4"/>
      <c r="F12" s="4"/>
      <c r="G12" s="4"/>
      <c r="H12" s="4"/>
      <c r="I12" s="4"/>
    </row>
    <row r="13" spans="1:9" ht="23" customHeight="1" x14ac:dyDescent="0.2">
      <c r="B13" s="25" t="s">
        <v>12</v>
      </c>
      <c r="C13" s="26"/>
      <c r="D13" s="4"/>
      <c r="E13" s="4"/>
      <c r="F13" s="9" t="s">
        <v>13</v>
      </c>
      <c r="G13" s="4"/>
      <c r="H13" s="4"/>
      <c r="I13" s="4"/>
    </row>
    <row r="14" spans="1:9" ht="23" customHeight="1" x14ac:dyDescent="0.2">
      <c r="B14" s="25" t="s">
        <v>14</v>
      </c>
      <c r="C14" s="26"/>
      <c r="D14" s="27"/>
      <c r="E14" s="28"/>
      <c r="F14" s="28"/>
      <c r="G14" s="28"/>
      <c r="H14" s="28"/>
      <c r="I14" s="29"/>
    </row>
    <row r="16" spans="1:9" ht="16" x14ac:dyDescent="0.2">
      <c r="A16" s="8" t="s">
        <v>15</v>
      </c>
    </row>
    <row r="17" spans="1:7" x14ac:dyDescent="0.2">
      <c r="B17" s="11" t="s">
        <v>16</v>
      </c>
      <c r="C17" s="11"/>
    </row>
    <row r="18" spans="1:7" ht="30" x14ac:dyDescent="0.2">
      <c r="B18" s="12" t="s">
        <v>17</v>
      </c>
      <c r="C18" s="19" t="s">
        <v>18</v>
      </c>
      <c r="D18" s="20"/>
      <c r="E18" s="12" t="s">
        <v>19</v>
      </c>
      <c r="F18" s="12" t="s">
        <v>20</v>
      </c>
      <c r="G18" s="12" t="s">
        <v>21</v>
      </c>
    </row>
    <row r="19" spans="1:7" x14ac:dyDescent="0.2">
      <c r="B19" s="13">
        <v>1</v>
      </c>
      <c r="C19" s="4"/>
      <c r="D19" s="4"/>
      <c r="E19" s="14" t="s">
        <v>22</v>
      </c>
      <c r="F19" s="10"/>
      <c r="G19" s="10"/>
    </row>
    <row r="20" spans="1:7" x14ac:dyDescent="0.2">
      <c r="B20" s="13">
        <v>2</v>
      </c>
      <c r="C20" s="4"/>
      <c r="D20" s="4"/>
      <c r="E20" s="14" t="s">
        <v>23</v>
      </c>
      <c r="F20" s="10"/>
      <c r="G20" s="10"/>
    </row>
    <row r="21" spans="1:7" x14ac:dyDescent="0.2">
      <c r="B21" s="13">
        <v>3</v>
      </c>
      <c r="C21" s="4"/>
      <c r="D21" s="4"/>
      <c r="E21" s="14" t="s">
        <v>24</v>
      </c>
      <c r="F21" s="10"/>
      <c r="G21" s="10"/>
    </row>
    <row r="22" spans="1:7" x14ac:dyDescent="0.2">
      <c r="B22" s="13">
        <v>4</v>
      </c>
      <c r="C22" s="4"/>
      <c r="D22" s="4"/>
      <c r="E22" s="14" t="s">
        <v>24</v>
      </c>
      <c r="F22" s="10"/>
      <c r="G22" s="10"/>
    </row>
    <row r="23" spans="1:7" x14ac:dyDescent="0.2">
      <c r="B23" s="13">
        <v>5</v>
      </c>
      <c r="C23" s="4"/>
      <c r="D23" s="4"/>
      <c r="E23" s="14" t="s">
        <v>24</v>
      </c>
      <c r="F23" s="10"/>
      <c r="G23" s="10"/>
    </row>
    <row r="24" spans="1:7" x14ac:dyDescent="0.2">
      <c r="B24" s="13">
        <v>6</v>
      </c>
      <c r="C24" s="4"/>
      <c r="D24" s="4"/>
      <c r="E24" s="14" t="s">
        <v>24</v>
      </c>
      <c r="F24" s="10"/>
      <c r="G24" s="10"/>
    </row>
    <row r="25" spans="1:7" x14ac:dyDescent="0.2">
      <c r="B25" s="11" t="s">
        <v>25</v>
      </c>
      <c r="C25" s="11"/>
    </row>
    <row r="26" spans="1:7" x14ac:dyDescent="0.2">
      <c r="B26" s="12" t="s">
        <v>17</v>
      </c>
      <c r="C26" s="19" t="s">
        <v>26</v>
      </c>
      <c r="D26" s="20"/>
      <c r="E26" s="12" t="s">
        <v>27</v>
      </c>
      <c r="F26" s="12" t="s">
        <v>28</v>
      </c>
    </row>
    <row r="27" spans="1:7" x14ac:dyDescent="0.2">
      <c r="B27" s="13">
        <v>1</v>
      </c>
      <c r="C27" s="4"/>
      <c r="D27" s="4"/>
      <c r="E27" s="10"/>
      <c r="F27" s="10"/>
    </row>
    <row r="28" spans="1:7" x14ac:dyDescent="0.2">
      <c r="B28" s="13">
        <v>2</v>
      </c>
      <c r="C28" s="4"/>
      <c r="D28" s="4"/>
      <c r="E28" s="10"/>
      <c r="F28" s="10"/>
    </row>
    <row r="30" spans="1:7" ht="16" x14ac:dyDescent="0.2">
      <c r="A30" s="8" t="s">
        <v>29</v>
      </c>
    </row>
    <row r="31" spans="1:7" x14ac:dyDescent="0.2">
      <c r="B31" s="11" t="s">
        <v>30</v>
      </c>
      <c r="C31" s="11"/>
    </row>
    <row r="32" spans="1:7" x14ac:dyDescent="0.2">
      <c r="B32" s="12" t="s">
        <v>17</v>
      </c>
      <c r="C32" s="19" t="s">
        <v>31</v>
      </c>
      <c r="D32" s="20"/>
      <c r="E32" s="12" t="s">
        <v>32</v>
      </c>
      <c r="F32" s="12" t="s">
        <v>33</v>
      </c>
      <c r="G32" s="12" t="s">
        <v>34</v>
      </c>
    </row>
    <row r="33" spans="1:9" x14ac:dyDescent="0.2">
      <c r="B33" s="13">
        <v>1</v>
      </c>
      <c r="C33" s="4"/>
      <c r="D33" s="4"/>
      <c r="E33" s="10"/>
      <c r="F33" s="10"/>
      <c r="G33" s="10"/>
    </row>
    <row r="34" spans="1:9" x14ac:dyDescent="0.2">
      <c r="B34" s="13">
        <v>2</v>
      </c>
      <c r="C34" s="4"/>
      <c r="D34" s="4"/>
      <c r="E34" s="10"/>
      <c r="F34" s="10"/>
      <c r="G34" s="10"/>
    </row>
    <row r="35" spans="1:9" x14ac:dyDescent="0.2">
      <c r="B35" s="13">
        <v>3</v>
      </c>
      <c r="C35" s="4"/>
      <c r="D35" s="4"/>
      <c r="E35" s="10"/>
      <c r="F35" s="10"/>
      <c r="G35" s="10"/>
    </row>
    <row r="36" spans="1:9" x14ac:dyDescent="0.2">
      <c r="B36" s="11" t="s">
        <v>35</v>
      </c>
      <c r="C36" s="11"/>
    </row>
    <row r="37" spans="1:9" x14ac:dyDescent="0.2">
      <c r="B37" s="12" t="s">
        <v>17</v>
      </c>
      <c r="C37" s="19" t="s">
        <v>36</v>
      </c>
      <c r="D37" s="20"/>
      <c r="E37" s="12" t="s">
        <v>37</v>
      </c>
      <c r="F37" s="12" t="s">
        <v>38</v>
      </c>
      <c r="G37" s="12" t="s">
        <v>39</v>
      </c>
    </row>
    <row r="38" spans="1:9" x14ac:dyDescent="0.2">
      <c r="B38" s="13">
        <v>1</v>
      </c>
      <c r="C38" s="4"/>
      <c r="D38" s="4"/>
      <c r="E38" s="10"/>
      <c r="F38" s="10"/>
      <c r="G38" s="10"/>
    </row>
    <row r="39" spans="1:9" x14ac:dyDescent="0.2">
      <c r="B39" s="13">
        <v>2</v>
      </c>
      <c r="C39" s="4"/>
      <c r="D39" s="4"/>
      <c r="E39" s="10"/>
      <c r="F39" s="10"/>
      <c r="G39" s="10"/>
    </row>
    <row r="40" spans="1:9" x14ac:dyDescent="0.2">
      <c r="B40" s="13">
        <v>3</v>
      </c>
      <c r="C40" s="4"/>
      <c r="D40" s="4"/>
      <c r="E40" s="10"/>
      <c r="F40" s="10"/>
      <c r="G40" s="10"/>
    </row>
    <row r="42" spans="1:9" ht="16" x14ac:dyDescent="0.2">
      <c r="A42" s="8" t="s">
        <v>40</v>
      </c>
    </row>
    <row r="43" spans="1:9" x14ac:dyDescent="0.2">
      <c r="B43" s="11" t="s">
        <v>41</v>
      </c>
      <c r="C43" s="11"/>
    </row>
    <row r="44" spans="1:9" ht="30" x14ac:dyDescent="0.2">
      <c r="B44" s="12" t="s">
        <v>17</v>
      </c>
      <c r="C44" s="21" t="s">
        <v>42</v>
      </c>
      <c r="D44" s="22"/>
      <c r="E44" s="12" t="s">
        <v>43</v>
      </c>
      <c r="F44" s="12" t="s">
        <v>38</v>
      </c>
      <c r="G44" s="12" t="s">
        <v>44</v>
      </c>
      <c r="H44" s="12" t="s">
        <v>45</v>
      </c>
      <c r="I44" s="12" t="s">
        <v>46</v>
      </c>
    </row>
    <row r="45" spans="1:9" x14ac:dyDescent="0.2">
      <c r="B45" s="13">
        <v>1</v>
      </c>
      <c r="C45" s="4"/>
      <c r="D45" s="4"/>
      <c r="E45" s="10"/>
      <c r="F45" s="10"/>
      <c r="G45" s="10"/>
      <c r="H45" s="10"/>
      <c r="I45" s="10"/>
    </row>
    <row r="46" spans="1:9" x14ac:dyDescent="0.2">
      <c r="B46" s="13">
        <v>2</v>
      </c>
      <c r="C46" s="4"/>
      <c r="D46" s="4"/>
      <c r="E46" s="10"/>
      <c r="F46" s="10"/>
      <c r="G46" s="10"/>
      <c r="H46" s="10"/>
      <c r="I46" s="10"/>
    </row>
    <row r="47" spans="1:9" x14ac:dyDescent="0.2">
      <c r="B47" s="13">
        <v>3</v>
      </c>
      <c r="C47" s="4"/>
      <c r="D47" s="4"/>
      <c r="E47" s="10"/>
      <c r="F47" s="10"/>
      <c r="G47" s="10"/>
      <c r="H47" s="10"/>
      <c r="I47" s="10"/>
    </row>
    <row r="48" spans="1:9" x14ac:dyDescent="0.2">
      <c r="B48" s="13">
        <v>4</v>
      </c>
      <c r="C48" s="4"/>
      <c r="D48" s="4"/>
      <c r="E48" s="10"/>
      <c r="F48" s="10"/>
      <c r="G48" s="10"/>
      <c r="H48" s="10"/>
      <c r="I48" s="10"/>
    </row>
    <row r="49" spans="2:7" x14ac:dyDescent="0.2">
      <c r="F49" s="12" t="s">
        <v>47</v>
      </c>
      <c r="G49" s="15" t="str">
        <f>IF(SUM(G45:G48)=0,"",SUM(G45:G48))</f>
        <v/>
      </c>
    </row>
    <row r="51" spans="2:7" x14ac:dyDescent="0.2">
      <c r="B51" s="11" t="s">
        <v>48</v>
      </c>
      <c r="C51" s="11"/>
    </row>
    <row r="52" spans="2:7" x14ac:dyDescent="0.2">
      <c r="B52" s="12" t="s">
        <v>17</v>
      </c>
      <c r="C52" s="21" t="s">
        <v>37</v>
      </c>
      <c r="D52" s="22"/>
      <c r="E52" s="12" t="s">
        <v>49</v>
      </c>
      <c r="F52" s="12" t="s">
        <v>50</v>
      </c>
      <c r="G52" s="12" t="s">
        <v>51</v>
      </c>
    </row>
    <row r="53" spans="2:7" x14ac:dyDescent="0.2">
      <c r="B53" s="13">
        <v>1</v>
      </c>
      <c r="C53" s="4"/>
      <c r="D53" s="4"/>
      <c r="E53" s="10"/>
      <c r="F53" s="10"/>
      <c r="G53" s="10"/>
    </row>
    <row r="54" spans="2:7" x14ac:dyDescent="0.2">
      <c r="B54" s="13">
        <v>2</v>
      </c>
      <c r="C54" s="4"/>
      <c r="D54" s="4"/>
      <c r="E54" s="10"/>
      <c r="F54" s="10"/>
      <c r="G54" s="10"/>
    </row>
    <row r="55" spans="2:7" x14ac:dyDescent="0.2">
      <c r="B55" s="13">
        <v>3</v>
      </c>
      <c r="C55" s="4"/>
      <c r="D55" s="4"/>
      <c r="E55" s="10"/>
      <c r="F55" s="10"/>
      <c r="G55" s="10"/>
    </row>
    <row r="56" spans="2:7" x14ac:dyDescent="0.2">
      <c r="B56" s="11" t="s">
        <v>52</v>
      </c>
      <c r="C56" s="11"/>
    </row>
    <row r="57" spans="2:7" ht="30" x14ac:dyDescent="0.2">
      <c r="B57" s="12" t="s">
        <v>17</v>
      </c>
      <c r="C57" s="21" t="s">
        <v>53</v>
      </c>
      <c r="D57" s="22"/>
      <c r="E57" s="12" t="s">
        <v>54</v>
      </c>
      <c r="F57" s="12" t="s">
        <v>55</v>
      </c>
    </row>
    <row r="58" spans="2:7" x14ac:dyDescent="0.2">
      <c r="B58" s="13">
        <v>1</v>
      </c>
      <c r="C58" s="4"/>
      <c r="D58" s="4"/>
      <c r="E58" s="10"/>
      <c r="F58" s="10"/>
    </row>
    <row r="59" spans="2:7" x14ac:dyDescent="0.2">
      <c r="B59" s="13">
        <v>2</v>
      </c>
      <c r="C59" s="4"/>
      <c r="D59" s="4"/>
      <c r="E59" s="10"/>
      <c r="F59" s="10"/>
    </row>
    <row r="60" spans="2:7" x14ac:dyDescent="0.2">
      <c r="B60" s="13">
        <v>3</v>
      </c>
      <c r="C60" s="4"/>
      <c r="D60" s="4"/>
      <c r="E60" s="10"/>
      <c r="F60" s="10"/>
    </row>
    <row r="61" spans="2:7" x14ac:dyDescent="0.2">
      <c r="B61" s="11" t="s">
        <v>56</v>
      </c>
      <c r="C61" s="11"/>
    </row>
    <row r="62" spans="2:7" x14ac:dyDescent="0.2">
      <c r="B62" s="12" t="s">
        <v>17</v>
      </c>
      <c r="C62" s="21" t="s">
        <v>57</v>
      </c>
      <c r="D62" s="22"/>
      <c r="E62" s="12" t="s">
        <v>58</v>
      </c>
      <c r="F62" s="12" t="s">
        <v>59</v>
      </c>
    </row>
    <row r="63" spans="2:7" x14ac:dyDescent="0.2">
      <c r="B63" s="13">
        <v>1</v>
      </c>
      <c r="C63" s="4"/>
      <c r="D63" s="4"/>
      <c r="E63" s="10"/>
      <c r="F63" s="10"/>
    </row>
    <row r="64" spans="2:7" x14ac:dyDescent="0.2">
      <c r="B64" s="13">
        <v>2</v>
      </c>
      <c r="C64" s="4"/>
      <c r="D64" s="4"/>
      <c r="E64" s="10"/>
      <c r="F64" s="10"/>
    </row>
    <row r="65" spans="1:7" x14ac:dyDescent="0.2">
      <c r="B65" s="13">
        <v>3</v>
      </c>
      <c r="C65" s="4"/>
      <c r="D65" s="4"/>
      <c r="E65" s="10"/>
      <c r="F65" s="10"/>
    </row>
    <row r="67" spans="1:7" ht="16" x14ac:dyDescent="0.2">
      <c r="A67" s="8" t="s">
        <v>60</v>
      </c>
    </row>
    <row r="68" spans="1:7" x14ac:dyDescent="0.2">
      <c r="B68" s="12" t="s">
        <v>17</v>
      </c>
      <c r="C68" s="21" t="s">
        <v>61</v>
      </c>
      <c r="D68" s="22"/>
      <c r="E68" s="12" t="s">
        <v>62</v>
      </c>
      <c r="F68" s="12" t="s">
        <v>63</v>
      </c>
      <c r="G68" s="12" t="s">
        <v>51</v>
      </c>
    </row>
    <row r="69" spans="1:7" x14ac:dyDescent="0.2">
      <c r="B69" s="13">
        <v>1</v>
      </c>
      <c r="C69" s="4"/>
      <c r="D69" s="4"/>
      <c r="E69" s="10"/>
      <c r="F69" s="10"/>
      <c r="G69" s="10"/>
    </row>
    <row r="70" spans="1:7" x14ac:dyDescent="0.2">
      <c r="B70" s="13">
        <v>2</v>
      </c>
      <c r="C70" s="4"/>
      <c r="D70" s="4"/>
      <c r="E70" s="10"/>
      <c r="F70" s="10"/>
      <c r="G70" s="10"/>
    </row>
    <row r="71" spans="1:7" x14ac:dyDescent="0.2">
      <c r="B71" s="13">
        <v>3</v>
      </c>
      <c r="C71" s="4"/>
      <c r="D71" s="4"/>
      <c r="E71" s="10"/>
      <c r="F71" s="10"/>
      <c r="G71" s="10"/>
    </row>
    <row r="72" spans="1:7" x14ac:dyDescent="0.2">
      <c r="B72" s="13">
        <v>4</v>
      </c>
      <c r="C72" s="4"/>
      <c r="D72" s="4"/>
      <c r="E72" s="10"/>
      <c r="F72" s="10"/>
      <c r="G72" s="10"/>
    </row>
    <row r="73" spans="1:7" x14ac:dyDescent="0.2">
      <c r="C73" s="23" t="s">
        <v>47</v>
      </c>
      <c r="D73" s="24"/>
      <c r="E73" s="15" t="str">
        <f>IF(SUM(E69:E72)=0,"",SUM(E69:E72))</f>
        <v/>
      </c>
    </row>
  </sheetData>
  <mergeCells count="65">
    <mergeCell ref="B13:C13"/>
    <mergeCell ref="B14:C14"/>
    <mergeCell ref="D14:I14"/>
    <mergeCell ref="B8:C8"/>
    <mergeCell ref="B9:C9"/>
    <mergeCell ref="B10:C10"/>
    <mergeCell ref="B11:C11"/>
    <mergeCell ref="B12:C12"/>
    <mergeCell ref="C72:D72"/>
    <mergeCell ref="C18:D18"/>
    <mergeCell ref="C44:D44"/>
    <mergeCell ref="C73:D73"/>
    <mergeCell ref="C68:D68"/>
    <mergeCell ref="C62:D62"/>
    <mergeCell ref="C57:D57"/>
    <mergeCell ref="C52:D52"/>
    <mergeCell ref="C37:D37"/>
    <mergeCell ref="C32:D32"/>
    <mergeCell ref="C26:D26"/>
    <mergeCell ref="C64:D64"/>
    <mergeCell ref="C65:D65"/>
    <mergeCell ref="C69:D69"/>
    <mergeCell ref="C70:D70"/>
    <mergeCell ref="C71:D71"/>
    <mergeCell ref="C55:D55"/>
    <mergeCell ref="C58:D58"/>
    <mergeCell ref="C59:D59"/>
    <mergeCell ref="C60:D60"/>
    <mergeCell ref="C63:D63"/>
    <mergeCell ref="C46:D46"/>
    <mergeCell ref="C47:D47"/>
    <mergeCell ref="C48:D48"/>
    <mergeCell ref="C53:D53"/>
    <mergeCell ref="C54:D54"/>
    <mergeCell ref="C35:D35"/>
    <mergeCell ref="C38:D38"/>
    <mergeCell ref="C39:D39"/>
    <mergeCell ref="C40:D40"/>
    <mergeCell ref="C45:D45"/>
    <mergeCell ref="C24:D24"/>
    <mergeCell ref="C27:D27"/>
    <mergeCell ref="C28:D28"/>
    <mergeCell ref="C33:D33"/>
    <mergeCell ref="C34:D34"/>
    <mergeCell ref="C19:D19"/>
    <mergeCell ref="C20:D20"/>
    <mergeCell ref="C21:D21"/>
    <mergeCell ref="C22:D22"/>
    <mergeCell ref="C23:D23"/>
    <mergeCell ref="D11:I11"/>
    <mergeCell ref="D12:I12"/>
    <mergeCell ref="D13:E13"/>
    <mergeCell ref="G13:I13"/>
    <mergeCell ref="D8:E8"/>
    <mergeCell ref="G8:I8"/>
    <mergeCell ref="D9:E9"/>
    <mergeCell ref="G9:I9"/>
    <mergeCell ref="D10:I10"/>
    <mergeCell ref="A1:I1"/>
    <mergeCell ref="A2:I2"/>
    <mergeCell ref="A3:I3"/>
    <mergeCell ref="D6:I6"/>
    <mergeCell ref="D7:I7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10" customWidth="1"/>
    <col min="2" max="2" width="34" customWidth="1"/>
    <col min="3" max="3" width="20" customWidth="1"/>
    <col min="4" max="4" width="4" customWidth="1"/>
    <col min="5" max="5" width="14" customWidth="1"/>
  </cols>
  <sheetData>
    <row r="1" spans="1:8" ht="18.5" customHeight="1" x14ac:dyDescent="0.2">
      <c r="A1" s="7" t="s">
        <v>64</v>
      </c>
      <c r="B1" s="7"/>
      <c r="C1" s="7"/>
      <c r="D1" s="7"/>
      <c r="E1" s="7"/>
      <c r="F1" s="7"/>
      <c r="G1" s="7"/>
      <c r="H1" s="7"/>
    </row>
    <row r="3" spans="1:8" ht="16" x14ac:dyDescent="0.2">
      <c r="A3" s="8" t="s">
        <v>65</v>
      </c>
    </row>
    <row r="4" spans="1:8" ht="30" x14ac:dyDescent="0.2">
      <c r="B4" s="9" t="s">
        <v>66</v>
      </c>
      <c r="C4" s="16">
        <v>120</v>
      </c>
    </row>
    <row r="5" spans="1:8" x14ac:dyDescent="0.2">
      <c r="B5" s="9" t="s">
        <v>67</v>
      </c>
      <c r="C5" s="16">
        <v>15</v>
      </c>
    </row>
    <row r="6" spans="1:8" ht="16" x14ac:dyDescent="0.2">
      <c r="B6" s="9" t="s">
        <v>68</v>
      </c>
      <c r="C6" s="17">
        <f>IF(AND(C4&gt;0,C5&gt;0),ROUNDUP(C4/C5,0),"")</f>
        <v>8</v>
      </c>
    </row>
    <row r="7" spans="1:8" x14ac:dyDescent="0.2">
      <c r="A7" s="3" t="s">
        <v>69</v>
      </c>
      <c r="B7" s="3"/>
      <c r="C7" s="3"/>
      <c r="D7" s="3"/>
      <c r="E7" s="3"/>
      <c r="F7" s="3"/>
      <c r="G7" s="3"/>
      <c r="H7" s="3"/>
    </row>
    <row r="8" spans="1:8" ht="30" customHeight="1" x14ac:dyDescent="0.2">
      <c r="A8" s="2" t="s">
        <v>70</v>
      </c>
      <c r="B8" s="2"/>
      <c r="C8" s="2"/>
      <c r="D8" s="2"/>
    </row>
    <row r="9" spans="1:8" ht="30" x14ac:dyDescent="0.2">
      <c r="A9" s="12" t="s">
        <v>71</v>
      </c>
      <c r="B9" s="12" t="s">
        <v>72</v>
      </c>
      <c r="C9" s="12" t="s">
        <v>73</v>
      </c>
    </row>
    <row r="10" spans="1:8" x14ac:dyDescent="0.2">
      <c r="A10" s="13">
        <v>0</v>
      </c>
      <c r="B10" s="13">
        <f t="shared" ref="B10:B20" si="0">IF(AND($C$4&gt;0,$C$5&gt;0),MAX(0,$C$4-$C$5*A10),"")</f>
        <v>120</v>
      </c>
      <c r="C10" s="16">
        <v>120</v>
      </c>
    </row>
    <row r="11" spans="1:8" x14ac:dyDescent="0.2">
      <c r="A11" s="13">
        <v>1</v>
      </c>
      <c r="B11" s="13">
        <f t="shared" si="0"/>
        <v>105</v>
      </c>
      <c r="C11" s="16">
        <v>108</v>
      </c>
    </row>
    <row r="12" spans="1:8" x14ac:dyDescent="0.2">
      <c r="A12" s="13">
        <v>2</v>
      </c>
      <c r="B12" s="13">
        <f t="shared" si="0"/>
        <v>90</v>
      </c>
      <c r="C12" s="16">
        <v>95</v>
      </c>
    </row>
    <row r="13" spans="1:8" x14ac:dyDescent="0.2">
      <c r="A13" s="13">
        <v>3</v>
      </c>
      <c r="B13" s="13">
        <f t="shared" si="0"/>
        <v>75</v>
      </c>
      <c r="C13" s="16"/>
    </row>
    <row r="14" spans="1:8" x14ac:dyDescent="0.2">
      <c r="A14" s="13">
        <v>4</v>
      </c>
      <c r="B14" s="13">
        <f t="shared" si="0"/>
        <v>60</v>
      </c>
      <c r="C14" s="16"/>
    </row>
    <row r="15" spans="1:8" x14ac:dyDescent="0.2">
      <c r="A15" s="13">
        <v>5</v>
      </c>
      <c r="B15" s="13">
        <f t="shared" si="0"/>
        <v>45</v>
      </c>
      <c r="C15" s="16"/>
    </row>
    <row r="16" spans="1:8" x14ac:dyDescent="0.2">
      <c r="A16" s="13">
        <v>6</v>
      </c>
      <c r="B16" s="13">
        <f t="shared" si="0"/>
        <v>30</v>
      </c>
      <c r="C16" s="16"/>
    </row>
    <row r="17" spans="1:4" x14ac:dyDescent="0.2">
      <c r="A17" s="13">
        <v>7</v>
      </c>
      <c r="B17" s="13">
        <f t="shared" si="0"/>
        <v>15</v>
      </c>
      <c r="C17" s="16"/>
    </row>
    <row r="18" spans="1:4" x14ac:dyDescent="0.2">
      <c r="A18" s="13">
        <v>8</v>
      </c>
      <c r="B18" s="13">
        <f t="shared" si="0"/>
        <v>0</v>
      </c>
      <c r="C18" s="16"/>
    </row>
    <row r="19" spans="1:4" x14ac:dyDescent="0.2">
      <c r="A19" s="13">
        <v>9</v>
      </c>
      <c r="B19" s="13">
        <f t="shared" si="0"/>
        <v>0</v>
      </c>
      <c r="C19" s="16"/>
    </row>
    <row r="20" spans="1:4" x14ac:dyDescent="0.2">
      <c r="A20" s="13">
        <v>10</v>
      </c>
      <c r="B20" s="13">
        <f t="shared" si="0"/>
        <v>0</v>
      </c>
      <c r="C20" s="16"/>
    </row>
    <row r="22" spans="1:4" ht="15" customHeight="1" x14ac:dyDescent="0.2">
      <c r="A22" s="1" t="s">
        <v>74</v>
      </c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</sheetData>
  <mergeCells count="4">
    <mergeCell ref="A1:H1"/>
    <mergeCell ref="A7:H7"/>
    <mergeCell ref="A8:D8"/>
    <mergeCell ref="A22:D2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5" customWidth="1"/>
    <col min="2" max="2" width="34" customWidth="1"/>
    <col min="3" max="4" width="16" customWidth="1"/>
    <col min="5" max="6" width="30" customWidth="1"/>
  </cols>
  <sheetData>
    <row r="1" spans="1:6" ht="18.5" customHeight="1" x14ac:dyDescent="0.2">
      <c r="A1" s="7" t="s">
        <v>75</v>
      </c>
      <c r="B1" s="7"/>
      <c r="C1" s="7"/>
      <c r="D1" s="7"/>
      <c r="E1" s="7"/>
      <c r="F1" s="7"/>
    </row>
    <row r="2" spans="1:6" x14ac:dyDescent="0.2">
      <c r="A2" s="18" t="s">
        <v>76</v>
      </c>
    </row>
    <row r="4" spans="1:6" x14ac:dyDescent="0.2">
      <c r="A4" s="12" t="s">
        <v>17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</row>
    <row r="5" spans="1:6" ht="30" customHeight="1" x14ac:dyDescent="0.2">
      <c r="A5" s="13">
        <v>1</v>
      </c>
      <c r="B5" s="10"/>
      <c r="C5" s="10"/>
      <c r="D5" s="10"/>
      <c r="E5" s="10"/>
      <c r="F5" s="10"/>
    </row>
    <row r="6" spans="1:6" ht="30" customHeight="1" x14ac:dyDescent="0.2">
      <c r="A6" s="13">
        <v>2</v>
      </c>
      <c r="B6" s="10"/>
      <c r="C6" s="10"/>
      <c r="D6" s="10"/>
      <c r="E6" s="10"/>
      <c r="F6" s="10"/>
    </row>
    <row r="7" spans="1:6" ht="30" customHeight="1" x14ac:dyDescent="0.2">
      <c r="A7" s="13">
        <v>3</v>
      </c>
      <c r="B7" s="10"/>
      <c r="C7" s="10"/>
      <c r="D7" s="10"/>
      <c r="E7" s="10"/>
      <c r="F7" s="10"/>
    </row>
    <row r="8" spans="1:6" ht="30" customHeight="1" x14ac:dyDescent="0.2">
      <c r="A8" s="13">
        <v>4</v>
      </c>
      <c r="B8" s="10"/>
      <c r="C8" s="10"/>
      <c r="D8" s="10"/>
      <c r="E8" s="10"/>
      <c r="F8" s="10"/>
    </row>
    <row r="9" spans="1:6" ht="30" customHeight="1" x14ac:dyDescent="0.2">
      <c r="A9" s="13">
        <v>5</v>
      </c>
      <c r="B9" s="10"/>
      <c r="C9" s="10"/>
      <c r="D9" s="10"/>
      <c r="E9" s="10"/>
      <c r="F9" s="10"/>
    </row>
    <row r="10" spans="1:6" ht="30" customHeight="1" x14ac:dyDescent="0.2">
      <c r="A10" s="13">
        <v>6</v>
      </c>
      <c r="B10" s="10"/>
      <c r="C10" s="10"/>
      <c r="D10" s="10"/>
      <c r="E10" s="10"/>
      <c r="F10" s="10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Normal="100" workbookViewId="0">
      <selection sqref="A1:J1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4" width="13" customWidth="1"/>
    <col min="5" max="5" width="16" customWidth="1"/>
    <col min="6" max="7" width="13" customWidth="1"/>
    <col min="8" max="8" width="22" customWidth="1"/>
    <col min="9" max="9" width="13" customWidth="1"/>
    <col min="10" max="10" width="16" customWidth="1"/>
  </cols>
  <sheetData>
    <row r="1" spans="1:10" ht="18.5" customHeight="1" x14ac:dyDescent="0.2">
      <c r="A1" s="7" t="s">
        <v>82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18" t="s">
        <v>83</v>
      </c>
    </row>
    <row r="4" spans="1:10" ht="30" x14ac:dyDescent="0.2">
      <c r="A4" s="12" t="s">
        <v>17</v>
      </c>
      <c r="B4" s="12" t="s">
        <v>84</v>
      </c>
      <c r="C4" s="12" t="s">
        <v>85</v>
      </c>
      <c r="D4" s="12" t="s">
        <v>86</v>
      </c>
      <c r="E4" s="12" t="s">
        <v>38</v>
      </c>
      <c r="F4" s="12" t="s">
        <v>87</v>
      </c>
      <c r="G4" s="12" t="s">
        <v>88</v>
      </c>
      <c r="H4" s="12" t="s">
        <v>43</v>
      </c>
      <c r="I4" s="12" t="s">
        <v>89</v>
      </c>
      <c r="J4" s="12" t="s">
        <v>51</v>
      </c>
    </row>
    <row r="5" spans="1:10" x14ac:dyDescent="0.2">
      <c r="A5" s="13">
        <v>1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2">
      <c r="A6" s="13">
        <v>2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">
      <c r="A7" s="13">
        <v>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2">
      <c r="A8" s="13">
        <v>4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2">
      <c r="A9" s="13">
        <v>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2">
      <c r="A10" s="13">
        <v>6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x14ac:dyDescent="0.2">
      <c r="A11" s="13">
        <v>7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">
      <c r="A12" s="13">
        <v>8</v>
      </c>
      <c r="B12" s="14"/>
      <c r="C12" s="14"/>
      <c r="D12" s="14"/>
      <c r="E12" s="14"/>
      <c r="F12" s="14"/>
      <c r="G12" s="14"/>
      <c r="H12" s="14"/>
      <c r="I12" s="14"/>
      <c r="J12" s="14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Kế hoạch dự án</vt:lpstr>
      <vt:lpstr>Release Plan &amp; Burndown</vt:lpstr>
      <vt:lpstr>Rủi ro</vt:lpstr>
      <vt:lpstr>Theo dõi tiến độ (tham khảo)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Nhat Nguyen Khac</cp:lastModifiedBy>
  <cp:revision>1</cp:revision>
  <dcterms:created xsi:type="dcterms:W3CDTF">2026-07-29T13:39:09Z</dcterms:created>
  <dcterms:modified xsi:type="dcterms:W3CDTF">2026-07-30T01:56:22Z</dcterms:modified>
  <dc:language>en-US</dc:language>
</cp:coreProperties>
</file>